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showObjects="none"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06439AE5-42F9-4E9B-82B4-3BC1E070E6BA}" xr6:coauthVersionLast="47" xr6:coauthVersionMax="47" xr10:uidLastSave="{00000000-0000-0000-0000-000000000000}"/>
  <bookViews>
    <workbookView xWindow="-120" yWindow="-120" windowWidth="20730" windowHeight="110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J40" i="2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</calcChain>
</file>

<file path=xl/sharedStrings.xml><?xml version="1.0" encoding="utf-8"?>
<sst xmlns="http://schemas.openxmlformats.org/spreadsheetml/2006/main" count="190" uniqueCount="89">
  <si>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</si>
  <si>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</si>
  <si>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</si>
  <si>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</si>
  <si>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</si>
  <si>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</si>
  <si>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</si>
  <si>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</si>
  <si>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</si>
  <si>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</si>
  <si>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</si>
  <si>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</si>
  <si>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</si>
  <si>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</si>
  <si>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</si>
  <si>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</si>
  <si>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</si>
  <si>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</si>
  <si>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</si>
  <si>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</si>
  <si>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</si>
  <si>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</si>
  <si>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</si>
  <si>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</si>
  <si>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</si>
  <si>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</si>
  <si>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</si>
  <si>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</si>
  <si>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</si>
  <si>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</si>
  <si>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</si>
  <si>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</si>
  <si>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</si>
  <si>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</si>
  <si>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</si>
  <si>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</si>
  <si>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</si>
  <si>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</si>
  <si>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</si>
  <si>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</si>
  <si>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</si>
  <si>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</si>
  <si>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</si>
  <si>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</si>
  <si>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</si>
  <si>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</si>
  <si>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</si>
  <si>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</si>
  <si>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</si>
  <si>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</si>
  <si>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</si>
  <si>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</si>
  <si>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</si>
  <si>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Chhaya</t>
  </si>
  <si>
    <t>MCA   section-D1P2635</t>
  </si>
  <si>
    <t>IT was a hectic day.</t>
  </si>
  <si>
    <t>Stressed</t>
  </si>
  <si>
    <t>Neutral</t>
  </si>
  <si>
    <t>Low</t>
  </si>
  <si>
    <t>Excellent</t>
  </si>
  <si>
    <t>Very Satisfied</t>
  </si>
  <si>
    <t>High</t>
  </si>
  <si>
    <t>It was a great day.</t>
  </si>
  <si>
    <t>It was a wounderful day.</t>
  </si>
  <si>
    <t>It was a intersting day.</t>
  </si>
  <si>
    <t>happy day</t>
  </si>
  <si>
    <t>cheerful day</t>
  </si>
  <si>
    <t>feeling happy and positive</t>
  </si>
  <si>
    <t>2026-08--28</t>
  </si>
  <si>
    <t>stressful day</t>
  </si>
  <si>
    <t>Unsatisfied</t>
  </si>
  <si>
    <t>low energy and felt tired</t>
  </si>
  <si>
    <t>feeling happy and relaxed</t>
  </si>
  <si>
    <t xml:space="preserve">An average day </t>
  </si>
  <si>
    <t>September</t>
  </si>
  <si>
    <t>feeling  tired and stressed</t>
  </si>
  <si>
    <t>today I met my mother</t>
  </si>
  <si>
    <t>Very Unsatisfied</t>
  </si>
  <si>
    <t>I was feeling very sad</t>
  </si>
  <si>
    <t>a calm and relaxed day</t>
  </si>
  <si>
    <t xml:space="preserve">Interseting day &amp; fresher's patry </t>
  </si>
  <si>
    <t>feeling tired</t>
  </si>
  <si>
    <t>A movie day with friends</t>
  </si>
  <si>
    <t>sleepy all day</t>
  </si>
  <si>
    <t>high</t>
  </si>
  <si>
    <t>CA 1 &amp; home day</t>
  </si>
  <si>
    <t>exhausted from traveling</t>
  </si>
  <si>
    <t>satisfied</t>
  </si>
  <si>
    <t xml:space="preserve">relaxed 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</si>
</sst>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i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1" fillId="0" borderId="1" xfId="0" applyNumberFormat="1" applyFont="1" applyBorder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33" activePane="bottomRight" state="frozen"/>
      <selection pane="topRight" activeCell="B1" sqref="B1"/>
      <selection pane="bottomLeft" activeCell="A6" sqref="A6"/>
      <selection pane="bottomRight" activeCell="J3" sqref="J3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12624552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74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13">
        <v>46254</v>
      </c>
      <c r="B6" s="14">
        <v>370</v>
      </c>
      <c r="C6" s="15">
        <v>10</v>
      </c>
      <c r="D6" s="15">
        <v>30</v>
      </c>
      <c r="E6" s="15">
        <v>30</v>
      </c>
      <c r="F6" s="15">
        <v>300</v>
      </c>
      <c r="G6" s="15">
        <v>6</v>
      </c>
      <c r="H6" s="15">
        <v>60</v>
      </c>
      <c r="I6" s="15">
        <v>800</v>
      </c>
      <c r="J6" s="15">
        <v>640</v>
      </c>
      <c r="K6" s="16" t="s">
        <v>49</v>
      </c>
      <c r="L6" s="16" t="s">
        <v>50</v>
      </c>
      <c r="M6" s="16" t="s">
        <v>51</v>
      </c>
      <c r="N6" s="17" t="s">
        <v>55</v>
      </c>
    </row>
    <row r="7" spans="1:14" x14ac:dyDescent="0.25">
      <c r="A7" s="8">
        <v>46255</v>
      </c>
      <c r="B7" s="9">
        <v>320</v>
      </c>
      <c r="C7" s="9">
        <v>20</v>
      </c>
      <c r="D7" s="9">
        <v>30</v>
      </c>
      <c r="E7" s="9">
        <v>30</v>
      </c>
      <c r="F7" s="9">
        <v>350</v>
      </c>
      <c r="G7" s="9">
        <v>7</v>
      </c>
      <c r="H7" s="9">
        <v>80</v>
      </c>
      <c r="I7" s="10">
        <f t="shared" ref="I7:I69" si="0">IF(SUM(B6:F6,H7)=0,"",SUM(B6:F6,H7))</f>
        <v>820</v>
      </c>
      <c r="J7" s="10">
        <f t="shared" ref="J7:J69" si="1">IF(I7="","",1440-I7)</f>
        <v>620</v>
      </c>
      <c r="K7" s="11" t="s">
        <v>56</v>
      </c>
      <c r="L7" s="11" t="s">
        <v>57</v>
      </c>
      <c r="M7" s="11" t="s">
        <v>58</v>
      </c>
      <c r="N7" s="12" t="s">
        <v>55</v>
      </c>
    </row>
    <row r="8" spans="1:14" x14ac:dyDescent="0.25">
      <c r="A8" s="8">
        <v>46256</v>
      </c>
      <c r="B8" s="9">
        <v>350</v>
      </c>
      <c r="C8" s="9">
        <v>20</v>
      </c>
      <c r="D8" s="9">
        <v>50</v>
      </c>
      <c r="E8" s="9">
        <v>50</v>
      </c>
      <c r="F8" s="9">
        <v>0</v>
      </c>
      <c r="G8" s="9">
        <v>0</v>
      </c>
      <c r="H8" s="9">
        <v>50</v>
      </c>
      <c r="I8" s="10">
        <f t="shared" si="0"/>
        <v>800</v>
      </c>
      <c r="J8" s="10">
        <f t="shared" si="1"/>
        <v>640</v>
      </c>
      <c r="K8" s="11" t="s">
        <v>59</v>
      </c>
      <c r="L8" s="11" t="s">
        <v>60</v>
      </c>
      <c r="M8" s="11" t="s">
        <v>61</v>
      </c>
      <c r="N8" s="12" t="s">
        <v>62</v>
      </c>
    </row>
    <row r="9" spans="1:14" x14ac:dyDescent="0.25">
      <c r="A9" s="8">
        <v>46257</v>
      </c>
      <c r="B9" s="9">
        <v>340</v>
      </c>
      <c r="C9" s="9">
        <v>20</v>
      </c>
      <c r="D9" s="9">
        <v>30</v>
      </c>
      <c r="E9" s="9">
        <v>40</v>
      </c>
      <c r="F9" s="9">
        <v>0</v>
      </c>
      <c r="G9" s="9">
        <v>0</v>
      </c>
      <c r="H9" s="9">
        <v>60</v>
      </c>
      <c r="I9" s="10">
        <f t="shared" si="0"/>
        <v>530</v>
      </c>
      <c r="J9" s="10">
        <f t="shared" si="1"/>
        <v>910</v>
      </c>
      <c r="K9" s="11" t="s">
        <v>59</v>
      </c>
      <c r="L9" s="11" t="s">
        <v>60</v>
      </c>
      <c r="M9" s="11" t="s">
        <v>61</v>
      </c>
      <c r="N9" s="12" t="s">
        <v>63</v>
      </c>
    </row>
    <row r="10" spans="1:14" x14ac:dyDescent="0.25">
      <c r="A10" s="8">
        <v>46258</v>
      </c>
      <c r="B10" s="9">
        <v>300</v>
      </c>
      <c r="C10" s="9">
        <v>20</v>
      </c>
      <c r="D10" s="9">
        <v>30</v>
      </c>
      <c r="E10" s="9">
        <v>30</v>
      </c>
      <c r="F10" s="9">
        <v>200</v>
      </c>
      <c r="G10" s="9">
        <v>4</v>
      </c>
      <c r="H10" s="9">
        <v>30</v>
      </c>
      <c r="I10" s="10">
        <f t="shared" si="0"/>
        <v>460</v>
      </c>
      <c r="J10" s="10">
        <f t="shared" si="1"/>
        <v>980</v>
      </c>
      <c r="K10" s="11" t="s">
        <v>59</v>
      </c>
      <c r="L10" s="11" t="s">
        <v>60</v>
      </c>
      <c r="M10" s="11" t="s">
        <v>61</v>
      </c>
      <c r="N10" s="12" t="s">
        <v>64</v>
      </c>
    </row>
    <row r="11" spans="1:14" x14ac:dyDescent="0.25">
      <c r="A11" s="8">
        <v>46259</v>
      </c>
      <c r="B11" s="9">
        <v>300</v>
      </c>
      <c r="C11" s="9">
        <v>20</v>
      </c>
      <c r="D11" s="9">
        <v>45</v>
      </c>
      <c r="E11" s="9">
        <v>40</v>
      </c>
      <c r="F11" s="9">
        <v>250</v>
      </c>
      <c r="G11" s="9">
        <v>5</v>
      </c>
      <c r="H11" s="9">
        <v>60</v>
      </c>
      <c r="I11" s="10">
        <f t="shared" si="0"/>
        <v>640</v>
      </c>
      <c r="J11" s="10">
        <f t="shared" si="1"/>
        <v>800</v>
      </c>
      <c r="K11" s="11" t="s">
        <v>49</v>
      </c>
      <c r="L11" s="11" t="s">
        <v>50</v>
      </c>
      <c r="M11" s="11" t="s">
        <v>61</v>
      </c>
      <c r="N11" s="12" t="s">
        <v>65</v>
      </c>
    </row>
    <row r="12" spans="1:14" x14ac:dyDescent="0.25">
      <c r="A12" s="8">
        <v>46260</v>
      </c>
      <c r="B12" s="9">
        <v>310</v>
      </c>
      <c r="C12" s="9">
        <v>30</v>
      </c>
      <c r="D12" s="9">
        <v>40</v>
      </c>
      <c r="E12" s="9">
        <v>40</v>
      </c>
      <c r="F12" s="9">
        <v>250</v>
      </c>
      <c r="G12" s="9">
        <v>5</v>
      </c>
      <c r="H12" s="9">
        <v>70</v>
      </c>
      <c r="I12" s="10">
        <f t="shared" si="0"/>
        <v>725</v>
      </c>
      <c r="J12" s="10">
        <f t="shared" si="1"/>
        <v>715</v>
      </c>
      <c r="K12" s="11" t="s">
        <v>59</v>
      </c>
      <c r="L12" s="11" t="s">
        <v>50</v>
      </c>
      <c r="M12" s="11" t="s">
        <v>61</v>
      </c>
      <c r="N12" s="12" t="s">
        <v>66</v>
      </c>
    </row>
    <row r="13" spans="1:14" x14ac:dyDescent="0.25">
      <c r="A13" s="8">
        <v>46261</v>
      </c>
      <c r="B13" s="9">
        <v>350</v>
      </c>
      <c r="C13" s="9">
        <v>20</v>
      </c>
      <c r="D13" s="9">
        <v>50</v>
      </c>
      <c r="E13" s="9">
        <v>50</v>
      </c>
      <c r="F13" s="9">
        <v>300</v>
      </c>
      <c r="G13" s="9">
        <v>6</v>
      </c>
      <c r="H13" s="9">
        <v>40</v>
      </c>
      <c r="I13" s="10">
        <f t="shared" si="0"/>
        <v>710</v>
      </c>
      <c r="J13" s="10">
        <f t="shared" si="1"/>
        <v>730</v>
      </c>
      <c r="K13" s="11" t="s">
        <v>49</v>
      </c>
      <c r="L13" s="11" t="s">
        <v>50</v>
      </c>
      <c r="M13" s="11" t="s">
        <v>51</v>
      </c>
      <c r="N13" s="12" t="s">
        <v>67</v>
      </c>
    </row>
    <row r="14" spans="1:14" x14ac:dyDescent="0.25">
      <c r="A14" s="8" t="s">
        <v>68</v>
      </c>
      <c r="B14" s="9">
        <v>390</v>
      </c>
      <c r="C14" s="9">
        <v>30</v>
      </c>
      <c r="D14" s="9">
        <v>40</v>
      </c>
      <c r="E14" s="9">
        <v>50</v>
      </c>
      <c r="F14" s="9">
        <v>200</v>
      </c>
      <c r="G14" s="9">
        <v>4</v>
      </c>
      <c r="H14" s="9">
        <v>70</v>
      </c>
      <c r="I14" s="10">
        <f t="shared" si="0"/>
        <v>840</v>
      </c>
      <c r="J14" s="10">
        <f t="shared" si="1"/>
        <v>600</v>
      </c>
      <c r="K14" s="11" t="s">
        <v>57</v>
      </c>
      <c r="L14" s="11" t="s">
        <v>57</v>
      </c>
      <c r="M14" s="11" t="s">
        <v>58</v>
      </c>
      <c r="N14" s="12" t="s">
        <v>69</v>
      </c>
    </row>
    <row r="15" spans="1:14" x14ac:dyDescent="0.25">
      <c r="A15" s="8">
        <v>46263</v>
      </c>
      <c r="B15" s="9">
        <v>480</v>
      </c>
      <c r="C15" s="9">
        <v>30</v>
      </c>
      <c r="D15" s="9">
        <v>50</v>
      </c>
      <c r="E15" s="9">
        <v>30</v>
      </c>
      <c r="F15" s="9">
        <v>0</v>
      </c>
      <c r="G15" s="9">
        <v>0</v>
      </c>
      <c r="H15" s="9">
        <v>70</v>
      </c>
      <c r="I15" s="10">
        <f t="shared" si="0"/>
        <v>780</v>
      </c>
      <c r="J15" s="10">
        <f t="shared" si="1"/>
        <v>660</v>
      </c>
      <c r="K15" s="11" t="s">
        <v>59</v>
      </c>
      <c r="L15" s="11" t="s">
        <v>60</v>
      </c>
      <c r="M15" s="11" t="s">
        <v>61</v>
      </c>
      <c r="N15" s="12" t="s">
        <v>65</v>
      </c>
    </row>
    <row r="16" spans="1:14" x14ac:dyDescent="0.25">
      <c r="A16" s="8">
        <v>46264</v>
      </c>
      <c r="B16" s="9">
        <v>300</v>
      </c>
      <c r="C16" s="9">
        <v>20</v>
      </c>
      <c r="D16" s="9">
        <v>50</v>
      </c>
      <c r="E16" s="9">
        <v>50</v>
      </c>
      <c r="F16" s="9">
        <v>0</v>
      </c>
      <c r="G16" s="9">
        <v>0</v>
      </c>
      <c r="H16" s="9">
        <v>80</v>
      </c>
      <c r="I16" s="10">
        <f t="shared" si="0"/>
        <v>670</v>
      </c>
      <c r="J16" s="10">
        <f t="shared" si="1"/>
        <v>770</v>
      </c>
      <c r="K16" s="11" t="s">
        <v>58</v>
      </c>
      <c r="L16" s="11" t="s">
        <v>70</v>
      </c>
      <c r="M16" s="11" t="s">
        <v>58</v>
      </c>
      <c r="N16" s="12" t="s">
        <v>71</v>
      </c>
    </row>
    <row r="17" spans="1:14" x14ac:dyDescent="0.25">
      <c r="A17" s="8">
        <v>46265</v>
      </c>
      <c r="B17" s="9">
        <v>360</v>
      </c>
      <c r="C17" s="9">
        <v>20</v>
      </c>
      <c r="D17" s="9">
        <v>60</v>
      </c>
      <c r="E17" s="9">
        <v>60</v>
      </c>
      <c r="F17" s="9">
        <v>100</v>
      </c>
      <c r="G17" s="9">
        <v>2</v>
      </c>
      <c r="H17" s="9">
        <v>90</v>
      </c>
      <c r="I17" s="10">
        <f t="shared" si="0"/>
        <v>510</v>
      </c>
      <c r="J17" s="10">
        <f t="shared" si="1"/>
        <v>930</v>
      </c>
      <c r="K17" s="11" t="s">
        <v>49</v>
      </c>
      <c r="L17" s="11" t="s">
        <v>50</v>
      </c>
      <c r="M17" s="11" t="s">
        <v>51</v>
      </c>
      <c r="N17" s="12" t="s">
        <v>72</v>
      </c>
    </row>
    <row r="18" spans="1:14" x14ac:dyDescent="0.25">
      <c r="A18" s="8">
        <v>46266</v>
      </c>
      <c r="B18" s="9">
        <v>480</v>
      </c>
      <c r="C18" s="9">
        <v>50</v>
      </c>
      <c r="D18" s="9">
        <v>60</v>
      </c>
      <c r="E18" s="9">
        <v>60</v>
      </c>
      <c r="F18" s="9">
        <v>250</v>
      </c>
      <c r="G18" s="9">
        <v>5</v>
      </c>
      <c r="H18" s="9">
        <v>80</v>
      </c>
      <c r="I18" s="10">
        <f t="shared" si="0"/>
        <v>680</v>
      </c>
      <c r="J18" s="10">
        <f t="shared" si="1"/>
        <v>760</v>
      </c>
      <c r="K18" s="11" t="s">
        <v>57</v>
      </c>
      <c r="L18" s="11" t="s">
        <v>57</v>
      </c>
      <c r="M18" s="11" t="s">
        <v>51</v>
      </c>
      <c r="N18" s="12" t="s">
        <v>73</v>
      </c>
    </row>
    <row r="19" spans="1:14" x14ac:dyDescent="0.25">
      <c r="A19" s="8">
        <v>46267</v>
      </c>
      <c r="B19" s="9">
        <v>300</v>
      </c>
      <c r="C19" s="9">
        <v>40</v>
      </c>
      <c r="D19" s="9">
        <v>60</v>
      </c>
      <c r="E19" s="9">
        <v>50</v>
      </c>
      <c r="F19" s="9">
        <v>250</v>
      </c>
      <c r="G19" s="9">
        <v>5</v>
      </c>
      <c r="H19" s="9">
        <v>70</v>
      </c>
      <c r="I19" s="10">
        <f t="shared" si="0"/>
        <v>970</v>
      </c>
      <c r="J19" s="10">
        <f t="shared" si="1"/>
        <v>470</v>
      </c>
      <c r="K19" s="11" t="s">
        <v>58</v>
      </c>
      <c r="L19" s="11" t="s">
        <v>70</v>
      </c>
      <c r="M19" s="11" t="s">
        <v>58</v>
      </c>
      <c r="N19" s="12" t="s">
        <v>69</v>
      </c>
    </row>
    <row r="20" spans="1:14" x14ac:dyDescent="0.25">
      <c r="A20" s="8">
        <v>46268</v>
      </c>
      <c r="B20" s="9">
        <v>240</v>
      </c>
      <c r="C20" s="9">
        <v>70</v>
      </c>
      <c r="D20" s="9">
        <v>50</v>
      </c>
      <c r="E20" s="9">
        <v>80</v>
      </c>
      <c r="F20" s="9">
        <v>300</v>
      </c>
      <c r="G20" s="9">
        <v>6</v>
      </c>
      <c r="H20" s="9">
        <v>80</v>
      </c>
      <c r="I20" s="10">
        <f t="shared" si="0"/>
        <v>780</v>
      </c>
      <c r="J20" s="10">
        <f t="shared" si="1"/>
        <v>660</v>
      </c>
      <c r="K20" s="11" t="s">
        <v>57</v>
      </c>
      <c r="L20" s="11" t="s">
        <v>57</v>
      </c>
      <c r="M20" s="11" t="s">
        <v>51</v>
      </c>
      <c r="N20" s="12" t="s">
        <v>75</v>
      </c>
    </row>
    <row r="21" spans="1:14" x14ac:dyDescent="0.25">
      <c r="A21" s="8">
        <v>46269</v>
      </c>
      <c r="B21" s="9">
        <v>480</v>
      </c>
      <c r="C21" s="9">
        <v>120</v>
      </c>
      <c r="D21" s="9">
        <v>70</v>
      </c>
      <c r="E21" s="9">
        <v>50</v>
      </c>
      <c r="F21" s="9">
        <v>250</v>
      </c>
      <c r="G21" s="9">
        <v>5</v>
      </c>
      <c r="H21" s="9">
        <v>90</v>
      </c>
      <c r="I21" s="10">
        <f t="shared" si="0"/>
        <v>830</v>
      </c>
      <c r="J21" s="10">
        <f t="shared" si="1"/>
        <v>610</v>
      </c>
      <c r="K21" s="11" t="s">
        <v>59</v>
      </c>
      <c r="L21" s="11" t="s">
        <v>60</v>
      </c>
      <c r="M21" s="11" t="s">
        <v>61</v>
      </c>
      <c r="N21" s="12" t="s">
        <v>76</v>
      </c>
    </row>
    <row r="22" spans="1:14" ht="30" x14ac:dyDescent="0.25">
      <c r="A22" s="8">
        <v>46270</v>
      </c>
      <c r="B22" s="9">
        <v>360</v>
      </c>
      <c r="C22" s="9">
        <v>90</v>
      </c>
      <c r="D22" s="9">
        <v>50</v>
      </c>
      <c r="E22" s="9">
        <v>80</v>
      </c>
      <c r="F22" s="9">
        <v>0</v>
      </c>
      <c r="G22" s="9">
        <v>0</v>
      </c>
      <c r="H22" s="9">
        <v>80</v>
      </c>
      <c r="I22" s="10">
        <f t="shared" si="0"/>
        <v>1050</v>
      </c>
      <c r="J22" s="10">
        <f t="shared" si="1"/>
        <v>390</v>
      </c>
      <c r="K22" s="11" t="s">
        <v>58</v>
      </c>
      <c r="L22" s="11" t="s">
        <v>77</v>
      </c>
      <c r="M22" s="11" t="s">
        <v>58</v>
      </c>
      <c r="N22" s="12" t="s">
        <v>78</v>
      </c>
    </row>
    <row r="23" spans="1:14" x14ac:dyDescent="0.25">
      <c r="A23" s="8">
        <v>46271</v>
      </c>
      <c r="B23" s="9">
        <v>180</v>
      </c>
      <c r="C23" s="9">
        <v>80</v>
      </c>
      <c r="D23" s="9">
        <v>60</v>
      </c>
      <c r="E23" s="9">
        <v>80</v>
      </c>
      <c r="F23" s="9">
        <v>0</v>
      </c>
      <c r="G23" s="9">
        <v>0</v>
      </c>
      <c r="H23" s="9">
        <v>80</v>
      </c>
      <c r="I23" s="10">
        <f t="shared" si="0"/>
        <v>660</v>
      </c>
      <c r="J23" s="10">
        <f t="shared" si="1"/>
        <v>780</v>
      </c>
      <c r="K23" s="11" t="s">
        <v>49</v>
      </c>
      <c r="L23" s="11" t="s">
        <v>57</v>
      </c>
      <c r="M23" s="11" t="s">
        <v>51</v>
      </c>
      <c r="N23" s="12" t="s">
        <v>73</v>
      </c>
    </row>
    <row r="24" spans="1:14" x14ac:dyDescent="0.25">
      <c r="A24" s="8">
        <v>46272</v>
      </c>
      <c r="B24" s="9">
        <v>480</v>
      </c>
      <c r="C24" s="9">
        <v>90</v>
      </c>
      <c r="D24" s="9">
        <v>120</v>
      </c>
      <c r="E24" s="9">
        <v>120</v>
      </c>
      <c r="F24" s="9">
        <v>300</v>
      </c>
      <c r="G24" s="9">
        <v>6</v>
      </c>
      <c r="H24" s="9">
        <v>90</v>
      </c>
      <c r="I24" s="10">
        <f t="shared" si="0"/>
        <v>490</v>
      </c>
      <c r="J24" s="10">
        <f t="shared" si="1"/>
        <v>950</v>
      </c>
      <c r="K24" s="11" t="s">
        <v>49</v>
      </c>
      <c r="L24" s="11" t="s">
        <v>50</v>
      </c>
      <c r="M24" s="11" t="s">
        <v>51</v>
      </c>
      <c r="N24" s="12" t="s">
        <v>79</v>
      </c>
    </row>
    <row r="25" spans="1:14" x14ac:dyDescent="0.25">
      <c r="A25" s="8">
        <v>46273</v>
      </c>
      <c r="B25" s="9">
        <v>300</v>
      </c>
      <c r="C25" s="9">
        <v>90</v>
      </c>
      <c r="D25" s="9">
        <v>60</v>
      </c>
      <c r="E25" s="9">
        <v>40</v>
      </c>
      <c r="F25" s="9">
        <v>250</v>
      </c>
      <c r="G25" s="9">
        <v>5</v>
      </c>
      <c r="H25" s="9">
        <v>120</v>
      </c>
      <c r="I25" s="10">
        <f t="shared" si="0"/>
        <v>1230</v>
      </c>
      <c r="J25" s="10">
        <f t="shared" si="1"/>
        <v>210</v>
      </c>
      <c r="K25" s="11" t="s">
        <v>59</v>
      </c>
      <c r="L25" s="11" t="s">
        <v>60</v>
      </c>
      <c r="M25" s="11" t="s">
        <v>61</v>
      </c>
      <c r="N25" s="12" t="s">
        <v>72</v>
      </c>
    </row>
    <row r="26" spans="1:14" x14ac:dyDescent="0.25">
      <c r="A26" s="8">
        <v>46274</v>
      </c>
      <c r="B26" s="9">
        <v>360</v>
      </c>
      <c r="C26" s="9">
        <v>100</v>
      </c>
      <c r="D26" s="9">
        <v>80</v>
      </c>
      <c r="E26" s="9">
        <v>70</v>
      </c>
      <c r="F26" s="9">
        <v>250</v>
      </c>
      <c r="G26" s="9">
        <v>5</v>
      </c>
      <c r="H26" s="9">
        <v>130</v>
      </c>
      <c r="I26" s="10">
        <f t="shared" si="0"/>
        <v>870</v>
      </c>
      <c r="J26" s="10">
        <f t="shared" si="1"/>
        <v>570</v>
      </c>
      <c r="K26" s="11" t="s">
        <v>49</v>
      </c>
      <c r="L26" s="11" t="s">
        <v>50</v>
      </c>
      <c r="M26" s="11" t="s">
        <v>61</v>
      </c>
      <c r="N26" s="12" t="s">
        <v>72</v>
      </c>
    </row>
    <row r="27" spans="1:14" ht="30" x14ac:dyDescent="0.25">
      <c r="A27" s="8">
        <v>46275</v>
      </c>
      <c r="B27" s="9">
        <v>300</v>
      </c>
      <c r="C27" s="9">
        <v>100</v>
      </c>
      <c r="D27" s="9">
        <v>70</v>
      </c>
      <c r="E27" s="9">
        <v>60</v>
      </c>
      <c r="F27" s="9">
        <v>100</v>
      </c>
      <c r="G27" s="9">
        <v>2</v>
      </c>
      <c r="H27" s="9">
        <v>120</v>
      </c>
      <c r="I27" s="10">
        <f t="shared" si="0"/>
        <v>980</v>
      </c>
      <c r="J27" s="10">
        <f t="shared" si="1"/>
        <v>460</v>
      </c>
      <c r="K27" s="11" t="s">
        <v>59</v>
      </c>
      <c r="L27" s="11" t="s">
        <v>60</v>
      </c>
      <c r="M27" s="11" t="s">
        <v>61</v>
      </c>
      <c r="N27" s="12" t="s">
        <v>80</v>
      </c>
    </row>
    <row r="28" spans="1:14" x14ac:dyDescent="0.25">
      <c r="A28" s="8">
        <v>46276</v>
      </c>
      <c r="B28" s="9">
        <v>360</v>
      </c>
      <c r="C28" s="9">
        <v>100</v>
      </c>
      <c r="D28" s="9">
        <v>50</v>
      </c>
      <c r="E28" s="9">
        <v>60</v>
      </c>
      <c r="F28" s="9">
        <v>350</v>
      </c>
      <c r="G28" s="9">
        <v>7</v>
      </c>
      <c r="H28" s="9">
        <v>120</v>
      </c>
      <c r="I28" s="10">
        <f t="shared" si="0"/>
        <v>750</v>
      </c>
      <c r="J28" s="10">
        <f t="shared" si="1"/>
        <v>690</v>
      </c>
      <c r="K28" s="11" t="s">
        <v>57</v>
      </c>
      <c r="L28" s="11" t="s">
        <v>57</v>
      </c>
      <c r="M28" s="11" t="s">
        <v>51</v>
      </c>
      <c r="N28" s="12" t="s">
        <v>81</v>
      </c>
    </row>
    <row r="29" spans="1:14" x14ac:dyDescent="0.25">
      <c r="A29" s="8">
        <v>46277</v>
      </c>
      <c r="B29" s="9">
        <v>300</v>
      </c>
      <c r="C29" s="9">
        <v>100</v>
      </c>
      <c r="D29" s="9">
        <v>50</v>
      </c>
      <c r="E29" s="9">
        <v>50</v>
      </c>
      <c r="F29" s="9">
        <v>0</v>
      </c>
      <c r="G29" s="9">
        <v>0</v>
      </c>
      <c r="H29" s="9">
        <v>300</v>
      </c>
      <c r="I29" s="10">
        <f t="shared" si="0"/>
        <v>1220</v>
      </c>
      <c r="J29" s="10">
        <f t="shared" si="1"/>
        <v>220</v>
      </c>
      <c r="K29" s="11" t="s">
        <v>59</v>
      </c>
      <c r="L29" s="11" t="s">
        <v>60</v>
      </c>
      <c r="M29" s="11" t="s">
        <v>61</v>
      </c>
      <c r="N29" s="12" t="s">
        <v>82</v>
      </c>
    </row>
    <row r="30" spans="1:14" x14ac:dyDescent="0.25">
      <c r="A30" s="8">
        <v>46278</v>
      </c>
      <c r="B30" s="9">
        <v>240</v>
      </c>
      <c r="C30" s="9">
        <v>30</v>
      </c>
      <c r="D30" s="9">
        <v>40</v>
      </c>
      <c r="E30" s="9">
        <v>40</v>
      </c>
      <c r="F30" s="9">
        <v>0</v>
      </c>
      <c r="G30" s="9">
        <v>0</v>
      </c>
      <c r="H30" s="9">
        <v>120</v>
      </c>
      <c r="I30" s="10">
        <f t="shared" si="0"/>
        <v>620</v>
      </c>
      <c r="J30" s="10">
        <f t="shared" si="1"/>
        <v>820</v>
      </c>
      <c r="K30" s="11" t="s">
        <v>58</v>
      </c>
      <c r="L30" s="11" t="s">
        <v>50</v>
      </c>
      <c r="M30" s="11" t="s">
        <v>51</v>
      </c>
      <c r="N30" s="12" t="s">
        <v>83</v>
      </c>
    </row>
    <row r="31" spans="1:14" x14ac:dyDescent="0.25">
      <c r="A31" s="8">
        <v>46279</v>
      </c>
      <c r="B31" s="9">
        <v>240</v>
      </c>
      <c r="C31" s="9">
        <v>120</v>
      </c>
      <c r="D31" s="9">
        <v>70</v>
      </c>
      <c r="E31" s="9">
        <v>60</v>
      </c>
      <c r="F31" s="9">
        <v>200</v>
      </c>
      <c r="G31" s="9">
        <v>4</v>
      </c>
      <c r="H31" s="9">
        <v>120</v>
      </c>
      <c r="I31" s="10">
        <f t="shared" si="0"/>
        <v>470</v>
      </c>
      <c r="J31" s="10">
        <f t="shared" si="1"/>
        <v>970</v>
      </c>
      <c r="K31" s="11" t="s">
        <v>49</v>
      </c>
      <c r="L31" s="11" t="s">
        <v>60</v>
      </c>
      <c r="M31" s="11" t="s">
        <v>61</v>
      </c>
      <c r="N31" s="12" t="s">
        <v>65</v>
      </c>
    </row>
    <row r="32" spans="1:14" x14ac:dyDescent="0.25">
      <c r="A32" s="8">
        <v>46280</v>
      </c>
      <c r="B32" s="9">
        <v>300</v>
      </c>
      <c r="C32" s="9">
        <v>120</v>
      </c>
      <c r="D32" s="9">
        <v>60</v>
      </c>
      <c r="E32" s="9">
        <v>80</v>
      </c>
      <c r="F32" s="9">
        <v>250</v>
      </c>
      <c r="G32" s="9">
        <v>5</v>
      </c>
      <c r="H32" s="9">
        <v>150</v>
      </c>
      <c r="I32" s="10">
        <f t="shared" si="0"/>
        <v>840</v>
      </c>
      <c r="J32" s="10">
        <f t="shared" si="1"/>
        <v>600</v>
      </c>
      <c r="K32" s="11" t="s">
        <v>59</v>
      </c>
      <c r="L32" s="11" t="s">
        <v>60</v>
      </c>
      <c r="M32" s="11" t="s">
        <v>61</v>
      </c>
      <c r="N32" s="12" t="s">
        <v>72</v>
      </c>
    </row>
    <row r="33" spans="1:14" x14ac:dyDescent="0.25">
      <c r="A33" s="8">
        <v>46281</v>
      </c>
      <c r="B33" s="9">
        <v>240</v>
      </c>
      <c r="C33" s="9">
        <v>120</v>
      </c>
      <c r="D33" s="9">
        <v>80</v>
      </c>
      <c r="E33" s="9">
        <v>70</v>
      </c>
      <c r="F33" s="9">
        <v>150</v>
      </c>
      <c r="G33" s="9">
        <v>3</v>
      </c>
      <c r="H33" s="9">
        <v>150</v>
      </c>
      <c r="I33" s="10">
        <f t="shared" si="0"/>
        <v>960</v>
      </c>
      <c r="J33" s="10">
        <f t="shared" si="1"/>
        <v>480</v>
      </c>
      <c r="K33" s="11" t="s">
        <v>57</v>
      </c>
      <c r="L33" s="11" t="s">
        <v>57</v>
      </c>
      <c r="M33" s="11" t="s">
        <v>51</v>
      </c>
      <c r="N33" s="12" t="s">
        <v>83</v>
      </c>
    </row>
    <row r="34" spans="1:14" x14ac:dyDescent="0.25">
      <c r="A34" s="8">
        <v>46282</v>
      </c>
      <c r="B34" s="9">
        <v>300</v>
      </c>
      <c r="C34" s="9">
        <v>120</v>
      </c>
      <c r="D34" s="9">
        <v>70</v>
      </c>
      <c r="E34" s="9">
        <v>80</v>
      </c>
      <c r="F34" s="9">
        <v>300</v>
      </c>
      <c r="G34" s="9">
        <v>5</v>
      </c>
      <c r="H34" s="9">
        <v>160</v>
      </c>
      <c r="I34" s="10">
        <f t="shared" si="0"/>
        <v>820</v>
      </c>
      <c r="J34" s="10">
        <f t="shared" si="1"/>
        <v>620</v>
      </c>
      <c r="K34" s="11" t="s">
        <v>59</v>
      </c>
      <c r="L34" s="11" t="s">
        <v>60</v>
      </c>
      <c r="M34" s="11" t="s">
        <v>61</v>
      </c>
      <c r="N34" s="12" t="s">
        <v>72</v>
      </c>
    </row>
    <row r="35" spans="1:14" x14ac:dyDescent="0.25">
      <c r="A35" s="8">
        <v>46283</v>
      </c>
      <c r="B35" s="9">
        <v>360</v>
      </c>
      <c r="C35" s="9">
        <v>100</v>
      </c>
      <c r="D35" s="9">
        <v>90</v>
      </c>
      <c r="E35" s="9">
        <v>60</v>
      </c>
      <c r="F35" s="9">
        <v>350</v>
      </c>
      <c r="G35" s="9">
        <v>7</v>
      </c>
      <c r="H35" s="9">
        <v>160</v>
      </c>
      <c r="I35" s="10">
        <f t="shared" si="0"/>
        <v>1030</v>
      </c>
      <c r="J35" s="10">
        <f t="shared" si="1"/>
        <v>410</v>
      </c>
      <c r="K35" s="11" t="s">
        <v>59</v>
      </c>
      <c r="L35" s="11" t="s">
        <v>60</v>
      </c>
      <c r="M35" s="11" t="s">
        <v>84</v>
      </c>
      <c r="N35" s="12" t="s">
        <v>65</v>
      </c>
    </row>
    <row r="36" spans="1:14" x14ac:dyDescent="0.25">
      <c r="A36" s="8">
        <v>46284</v>
      </c>
      <c r="B36" s="9">
        <v>420</v>
      </c>
      <c r="C36" s="9">
        <v>120</v>
      </c>
      <c r="D36" s="9">
        <v>70</v>
      </c>
      <c r="E36" s="9">
        <v>40</v>
      </c>
      <c r="F36" s="9">
        <v>0</v>
      </c>
      <c r="G36" s="9">
        <v>0</v>
      </c>
      <c r="H36" s="9">
        <v>130</v>
      </c>
      <c r="I36" s="10">
        <f t="shared" si="0"/>
        <v>1090</v>
      </c>
      <c r="J36" s="10">
        <f t="shared" si="1"/>
        <v>350</v>
      </c>
      <c r="K36" s="11" t="s">
        <v>59</v>
      </c>
      <c r="L36" s="11" t="s">
        <v>60</v>
      </c>
      <c r="M36" s="11" t="s">
        <v>84</v>
      </c>
      <c r="N36" s="12" t="s">
        <v>85</v>
      </c>
    </row>
    <row r="37" spans="1:14" x14ac:dyDescent="0.25">
      <c r="A37" s="8">
        <v>46285</v>
      </c>
      <c r="B37" s="9">
        <v>300</v>
      </c>
      <c r="C37" s="9">
        <v>150</v>
      </c>
      <c r="D37" s="9">
        <v>0</v>
      </c>
      <c r="E37" s="9">
        <v>0</v>
      </c>
      <c r="F37" s="9">
        <v>0</v>
      </c>
      <c r="G37" s="9">
        <v>0</v>
      </c>
      <c r="H37" s="9">
        <v>180</v>
      </c>
      <c r="I37" s="10">
        <f t="shared" si="0"/>
        <v>830</v>
      </c>
      <c r="J37" s="10">
        <f t="shared" si="1"/>
        <v>610</v>
      </c>
      <c r="K37" s="11" t="s">
        <v>58</v>
      </c>
      <c r="L37" s="11" t="s">
        <v>70</v>
      </c>
      <c r="M37" s="11" t="s">
        <v>58</v>
      </c>
      <c r="N37" s="12" t="s">
        <v>86</v>
      </c>
    </row>
    <row r="38" spans="1:14" x14ac:dyDescent="0.25">
      <c r="A38" s="8">
        <v>46286</v>
      </c>
      <c r="B38" s="9">
        <v>300</v>
      </c>
      <c r="C38" s="9">
        <v>120</v>
      </c>
      <c r="D38" s="9">
        <v>50</v>
      </c>
      <c r="E38" s="9">
        <v>70</v>
      </c>
      <c r="F38" s="9">
        <v>200</v>
      </c>
      <c r="G38" s="9">
        <v>4</v>
      </c>
      <c r="H38" s="9">
        <v>140</v>
      </c>
      <c r="I38" s="10">
        <f t="shared" si="0"/>
        <v>590</v>
      </c>
      <c r="J38" s="10">
        <f t="shared" si="1"/>
        <v>850</v>
      </c>
      <c r="K38" s="11" t="s">
        <v>49</v>
      </c>
      <c r="L38" s="11" t="s">
        <v>87</v>
      </c>
      <c r="M38" s="11" t="s">
        <v>51</v>
      </c>
      <c r="N38" s="12" t="s">
        <v>88</v>
      </c>
    </row>
    <row r="39" spans="1:14" x14ac:dyDescent="0.25">
      <c r="A39" s="8">
        <v>46287</v>
      </c>
      <c r="B39" s="9">
        <v>300</v>
      </c>
      <c r="C39" s="9">
        <v>130</v>
      </c>
      <c r="D39" s="9">
        <v>80</v>
      </c>
      <c r="E39" s="9">
        <v>90</v>
      </c>
      <c r="F39" s="9">
        <v>250</v>
      </c>
      <c r="G39" s="9">
        <v>5</v>
      </c>
      <c r="H39" s="9">
        <v>120</v>
      </c>
      <c r="I39" s="10">
        <f t="shared" si="0"/>
        <v>860</v>
      </c>
      <c r="J39" s="10">
        <f t="shared" si="1"/>
        <v>580</v>
      </c>
      <c r="K39" s="11" t="s">
        <v>59</v>
      </c>
      <c r="L39" s="11" t="s">
        <v>60</v>
      </c>
      <c r="M39" s="11" t="s">
        <v>61</v>
      </c>
      <c r="N39" s="12" t="s">
        <v>65</v>
      </c>
    </row>
    <row r="40" spans="1:14" x14ac:dyDescent="0.25">
      <c r="A40" s="8"/>
      <c r="B40" s="9"/>
      <c r="C40" s="9"/>
      <c r="D40" s="9"/>
      <c r="E40" s="9"/>
      <c r="F40" s="9"/>
      <c r="G40" s="9"/>
      <c r="H40" s="9"/>
      <c r="I40" s="10"/>
      <c r="J40" s="10" t="str">
        <f t="shared" si="1"/>
        <v/>
      </c>
      <c r="K40" s="11"/>
      <c r="L40" s="11"/>
      <c r="M40" s="11"/>
      <c r="N40" s="12"/>
    </row>
    <row r="41" spans="1:14" x14ac:dyDescent="0.25">
      <c r="A41" s="8"/>
      <c r="B41" s="9"/>
      <c r="C41" s="9"/>
      <c r="D41" s="9"/>
      <c r="E41" s="9"/>
      <c r="F41" s="9"/>
      <c r="G41" s="9"/>
      <c r="H41" s="9"/>
      <c r="I41" s="10" t="str">
        <f t="shared" si="0"/>
        <v/>
      </c>
      <c r="J41" s="10" t="str">
        <f t="shared" si="1"/>
        <v/>
      </c>
      <c r="K41" s="11"/>
      <c r="L41" s="11"/>
      <c r="M41" s="11"/>
      <c r="N41" s="12"/>
    </row>
    <row r="42" spans="1:14" x14ac:dyDescent="0.25">
      <c r="A42" s="8"/>
      <c r="B42" s="9"/>
      <c r="C42" s="9"/>
      <c r="D42" s="9"/>
      <c r="E42" s="9"/>
      <c r="F42" s="9"/>
      <c r="G42" s="9"/>
      <c r="H42" s="9"/>
      <c r="I42" s="10" t="str">
        <f t="shared" si="0"/>
        <v/>
      </c>
      <c r="J42" s="10" t="str">
        <f t="shared" si="1"/>
        <v/>
      </c>
      <c r="K42" s="11"/>
      <c r="L42" s="11"/>
      <c r="M42" s="11"/>
      <c r="N42" s="12"/>
    </row>
    <row r="43" spans="1:14" x14ac:dyDescent="0.25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25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25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25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25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25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25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25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25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25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25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25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25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25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25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25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25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25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25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25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25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25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25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25">
      <c r="A66" s="8"/>
      <c r="B66" s="9"/>
      <c r="C66" s="9"/>
      <c r="D66" s="9"/>
      <c r="E66" s="9"/>
      <c r="F66" s="9"/>
      <c r="G66" s="9"/>
      <c r="H66" s="9"/>
      <c r="I66" s="10" t="str">
        <f t="shared" si="0"/>
        <v/>
      </c>
      <c r="J66" s="10" t="str">
        <f t="shared" si="1"/>
        <v/>
      </c>
      <c r="K66" s="11"/>
      <c r="L66" s="11"/>
      <c r="M66" s="11"/>
      <c r="N66" s="12"/>
    </row>
    <row r="67" spans="1:14" x14ac:dyDescent="0.25">
      <c r="A67" s="8"/>
      <c r="B67" s="9"/>
      <c r="C67" s="9"/>
      <c r="D67" s="9"/>
      <c r="E67" s="9"/>
      <c r="F67" s="9"/>
      <c r="G67" s="9"/>
      <c r="H67" s="9"/>
      <c r="I67" s="10" t="str">
        <f t="shared" si="0"/>
        <v/>
      </c>
      <c r="J67" s="10" t="str">
        <f t="shared" si="1"/>
        <v/>
      </c>
      <c r="K67" s="11"/>
      <c r="L67" s="11"/>
      <c r="M67" s="11"/>
      <c r="N67" s="12"/>
    </row>
    <row r="68" spans="1:14" x14ac:dyDescent="0.25">
      <c r="A68" s="8"/>
      <c r="B68" s="9"/>
      <c r="C68" s="9"/>
      <c r="D68" s="9"/>
      <c r="E68" s="9"/>
      <c r="F68" s="9"/>
      <c r="G68" s="9"/>
      <c r="H68" s="9"/>
      <c r="I68" s="10" t="str">
        <f t="shared" si="0"/>
        <v/>
      </c>
      <c r="J68" s="10" t="str">
        <f t="shared" si="1"/>
        <v/>
      </c>
      <c r="K68" s="11"/>
      <c r="L68" s="11"/>
      <c r="M68" s="11"/>
      <c r="N68" s="12"/>
    </row>
    <row r="69" spans="1:14" x14ac:dyDescent="0.25">
      <c r="A69" s="8"/>
      <c r="B69" s="9"/>
      <c r="C69" s="9"/>
      <c r="D69" s="9"/>
      <c r="E69" s="9"/>
      <c r="F69" s="9"/>
      <c r="G69" s="9"/>
      <c r="H69" s="9"/>
      <c r="I69" s="10" t="str">
        <f t="shared" si="0"/>
        <v/>
      </c>
      <c r="J69" s="10" t="str">
        <f t="shared" si="1"/>
        <v/>
      </c>
      <c r="K69" s="11"/>
      <c r="L69" s="11"/>
      <c r="M69" s="11"/>
      <c r="N69" s="12"/>
    </row>
    <row r="70" spans="1:14" x14ac:dyDescent="0.25">
      <c r="A70" s="8"/>
      <c r="B70" s="9"/>
      <c r="C70" s="9"/>
      <c r="D70" s="9"/>
      <c r="E70" s="9"/>
      <c r="F70" s="9"/>
      <c r="G70" s="9"/>
      <c r="H70" s="9"/>
      <c r="I70" s="10" t="str">
        <f t="shared" ref="I70:I133" si="2">IF(SUM(B69:F69,H70)=0,"",SUM(B69:F69,H70))</f>
        <v/>
      </c>
      <c r="J70" s="10" t="str">
        <f t="shared" ref="J70:J133" si="3">IF(I70="","",1440-I70)</f>
        <v/>
      </c>
      <c r="K70" s="11"/>
      <c r="L70" s="11"/>
      <c r="M70" s="11"/>
      <c r="N70" s="12"/>
    </row>
    <row r="71" spans="1:14" x14ac:dyDescent="0.25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25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25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25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25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25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25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25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25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25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25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25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25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25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25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25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25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25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25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25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25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25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25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25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25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25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25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25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25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25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25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25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25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25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25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25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25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25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25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25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25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25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25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25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25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25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25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25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25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25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25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25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25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25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25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25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25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25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25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25">
      <c r="A130" s="8"/>
      <c r="B130" s="9"/>
      <c r="C130" s="9"/>
      <c r="D130" s="9"/>
      <c r="E130" s="9"/>
      <c r="F130" s="9"/>
      <c r="G130" s="9"/>
      <c r="H130" s="9"/>
      <c r="I130" s="10" t="str">
        <f t="shared" si="2"/>
        <v/>
      </c>
      <c r="J130" s="10" t="str">
        <f t="shared" si="3"/>
        <v/>
      </c>
      <c r="K130" s="11"/>
      <c r="L130" s="11"/>
      <c r="M130" s="11"/>
      <c r="N130" s="12"/>
    </row>
    <row r="131" spans="1:14" x14ac:dyDescent="0.25">
      <c r="A131" s="8"/>
      <c r="B131" s="9"/>
      <c r="C131" s="9"/>
      <c r="D131" s="9"/>
      <c r="E131" s="9"/>
      <c r="F131" s="9"/>
      <c r="G131" s="9"/>
      <c r="H131" s="9"/>
      <c r="I131" s="10" t="str">
        <f t="shared" si="2"/>
        <v/>
      </c>
      <c r="J131" s="10" t="str">
        <f t="shared" si="3"/>
        <v/>
      </c>
      <c r="K131" s="11"/>
      <c r="L131" s="11"/>
      <c r="M131" s="11"/>
      <c r="N131" s="12"/>
    </row>
    <row r="132" spans="1:14" x14ac:dyDescent="0.25">
      <c r="A132" s="8"/>
      <c r="B132" s="9"/>
      <c r="C132" s="9"/>
      <c r="D132" s="9"/>
      <c r="E132" s="9"/>
      <c r="F132" s="9"/>
      <c r="G132" s="9"/>
      <c r="H132" s="9"/>
      <c r="I132" s="10" t="str">
        <f t="shared" si="2"/>
        <v/>
      </c>
      <c r="J132" s="10" t="str">
        <f t="shared" si="3"/>
        <v/>
      </c>
      <c r="K132" s="11"/>
      <c r="L132" s="11"/>
      <c r="M132" s="11"/>
      <c r="N132" s="12"/>
    </row>
    <row r="133" spans="1:14" x14ac:dyDescent="0.25">
      <c r="A133" s="8"/>
      <c r="B133" s="9"/>
      <c r="C133" s="9"/>
      <c r="D133" s="9"/>
      <c r="E133" s="9"/>
      <c r="F133" s="9"/>
      <c r="G133" s="9"/>
      <c r="H133" s="9"/>
      <c r="I133" s="10" t="str">
        <f t="shared" si="2"/>
        <v/>
      </c>
      <c r="J133" s="10" t="str">
        <f t="shared" si="3"/>
        <v/>
      </c>
      <c r="K133" s="11"/>
      <c r="L133" s="11"/>
      <c r="M133" s="11"/>
      <c r="N133" s="12"/>
    </row>
    <row r="134" spans="1:14" x14ac:dyDescent="0.25">
      <c r="A134" s="8"/>
      <c r="B134" s="9"/>
      <c r="C134" s="9"/>
      <c r="D134" s="9"/>
      <c r="E134" s="9"/>
      <c r="F134" s="9"/>
      <c r="G134" s="9"/>
      <c r="H134" s="9"/>
      <c r="I134" s="10" t="str">
        <f t="shared" ref="I134:I197" si="4">IF(SUM(B133:F133,H134)=0,"",SUM(B133:F133,H134))</f>
        <v/>
      </c>
      <c r="J134" s="10" t="str">
        <f t="shared" ref="J134:J197" si="5">IF(I134="","",1440-I134)</f>
        <v/>
      </c>
      <c r="K134" s="11"/>
      <c r="L134" s="11"/>
      <c r="M134" s="11"/>
      <c r="N134" s="12"/>
    </row>
    <row r="135" spans="1:14" x14ac:dyDescent="0.25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25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25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25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25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25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25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25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25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25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25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25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25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25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25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25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25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25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25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25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25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25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25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25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25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25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25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25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25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25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25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25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25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25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25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25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25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25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25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25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25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25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25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25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25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25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25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25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25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25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25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25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25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25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25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25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25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25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25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25">
      <c r="A194" s="8"/>
      <c r="B194" s="9"/>
      <c r="C194" s="9"/>
      <c r="D194" s="9"/>
      <c r="E194" s="9"/>
      <c r="F194" s="9"/>
      <c r="G194" s="9"/>
      <c r="H194" s="9"/>
      <c r="I194" s="10" t="str">
        <f t="shared" si="4"/>
        <v/>
      </c>
      <c r="J194" s="10" t="str">
        <f t="shared" si="5"/>
        <v/>
      </c>
      <c r="K194" s="11"/>
      <c r="L194" s="11"/>
      <c r="M194" s="11"/>
      <c r="N194" s="12"/>
    </row>
    <row r="195" spans="1:14" x14ac:dyDescent="0.25">
      <c r="A195" s="8"/>
      <c r="B195" s="9"/>
      <c r="C195" s="9"/>
      <c r="D195" s="9"/>
      <c r="E195" s="9"/>
      <c r="F195" s="9"/>
      <c r="G195" s="9"/>
      <c r="H195" s="9"/>
      <c r="I195" s="10" t="str">
        <f t="shared" si="4"/>
        <v/>
      </c>
      <c r="J195" s="10" t="str">
        <f t="shared" si="5"/>
        <v/>
      </c>
      <c r="K195" s="11"/>
      <c r="L195" s="11"/>
      <c r="M195" s="11"/>
      <c r="N195" s="12"/>
    </row>
    <row r="196" spans="1:14" x14ac:dyDescent="0.25">
      <c r="A196" s="8"/>
      <c r="B196" s="9"/>
      <c r="C196" s="9"/>
      <c r="D196" s="9"/>
      <c r="E196" s="9"/>
      <c r="F196" s="9"/>
      <c r="G196" s="9"/>
      <c r="H196" s="9"/>
      <c r="I196" s="10" t="str">
        <f t="shared" si="4"/>
        <v/>
      </c>
      <c r="J196" s="10" t="str">
        <f t="shared" si="5"/>
        <v/>
      </c>
      <c r="K196" s="11"/>
      <c r="L196" s="11"/>
      <c r="M196" s="11"/>
      <c r="N196" s="12"/>
    </row>
    <row r="197" spans="1:14" x14ac:dyDescent="0.25">
      <c r="A197" s="8"/>
      <c r="B197" s="9"/>
      <c r="C197" s="9"/>
      <c r="D197" s="9"/>
      <c r="E197" s="9"/>
      <c r="F197" s="9"/>
      <c r="G197" s="9"/>
      <c r="H197" s="9"/>
      <c r="I197" s="10" t="str">
        <f t="shared" si="4"/>
        <v/>
      </c>
      <c r="J197" s="10" t="str">
        <f t="shared" si="5"/>
        <v/>
      </c>
      <c r="K197" s="11"/>
      <c r="L197" s="11"/>
      <c r="M197" s="11"/>
      <c r="N197" s="12"/>
    </row>
    <row r="198" spans="1:14" x14ac:dyDescent="0.25">
      <c r="A198" s="8"/>
      <c r="B198" s="9"/>
      <c r="C198" s="9"/>
      <c r="D198" s="9"/>
      <c r="E198" s="9"/>
      <c r="F198" s="9"/>
      <c r="G198" s="9"/>
      <c r="H198" s="9"/>
      <c r="I198" s="10" t="str">
        <f t="shared" ref="I198:I261" si="6">IF(SUM(B197:F197,H198)=0,"",SUM(B197:F197,H198))</f>
        <v/>
      </c>
      <c r="J198" s="10" t="str">
        <f t="shared" ref="J198:J261" si="7">IF(I198="","",1440-I198)</f>
        <v/>
      </c>
      <c r="K198" s="11"/>
      <c r="L198" s="11"/>
      <c r="M198" s="11"/>
      <c r="N198" s="12"/>
    </row>
    <row r="199" spans="1:14" x14ac:dyDescent="0.25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25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25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25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25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25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25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25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25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25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25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25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25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25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25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25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25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25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25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25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25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25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25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25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25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25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25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25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25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25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25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25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25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25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25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25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25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25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25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25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25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25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25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25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25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25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25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25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25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25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25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25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25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25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25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25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25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25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25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25">
      <c r="A258" s="8"/>
      <c r="B258" s="9"/>
      <c r="C258" s="9"/>
      <c r="D258" s="9"/>
      <c r="E258" s="9"/>
      <c r="F258" s="9"/>
      <c r="G258" s="9"/>
      <c r="H258" s="9"/>
      <c r="I258" s="10" t="str">
        <f t="shared" si="6"/>
        <v/>
      </c>
      <c r="J258" s="10" t="str">
        <f t="shared" si="7"/>
        <v/>
      </c>
      <c r="K258" s="11"/>
      <c r="L258" s="11"/>
      <c r="M258" s="11"/>
      <c r="N258" s="12"/>
    </row>
    <row r="259" spans="1:14" x14ac:dyDescent="0.25">
      <c r="A259" s="8"/>
      <c r="B259" s="9"/>
      <c r="C259" s="9"/>
      <c r="D259" s="9"/>
      <c r="E259" s="9"/>
      <c r="F259" s="9"/>
      <c r="G259" s="9"/>
      <c r="H259" s="9"/>
      <c r="I259" s="10" t="str">
        <f t="shared" si="6"/>
        <v/>
      </c>
      <c r="J259" s="10" t="str">
        <f t="shared" si="7"/>
        <v/>
      </c>
      <c r="K259" s="11"/>
      <c r="L259" s="11"/>
      <c r="M259" s="11"/>
      <c r="N259" s="12"/>
    </row>
    <row r="260" spans="1:14" x14ac:dyDescent="0.25">
      <c r="A260" s="8"/>
      <c r="B260" s="9"/>
      <c r="C260" s="9"/>
      <c r="D260" s="9"/>
      <c r="E260" s="9"/>
      <c r="F260" s="9"/>
      <c r="G260" s="9"/>
      <c r="H260" s="9"/>
      <c r="I260" s="10" t="str">
        <f t="shared" si="6"/>
        <v/>
      </c>
      <c r="J260" s="10" t="str">
        <f t="shared" si="7"/>
        <v/>
      </c>
      <c r="K260" s="11"/>
      <c r="L260" s="11"/>
      <c r="M260" s="11"/>
      <c r="N260" s="12"/>
    </row>
    <row r="261" spans="1:14" x14ac:dyDescent="0.25">
      <c r="A261" s="8"/>
      <c r="B261" s="9"/>
      <c r="C261" s="9"/>
      <c r="D261" s="9"/>
      <c r="E261" s="9"/>
      <c r="F261" s="9"/>
      <c r="G261" s="9"/>
      <c r="H261" s="9"/>
      <c r="I261" s="10" t="str">
        <f t="shared" si="6"/>
        <v/>
      </c>
      <c r="J261" s="10" t="str">
        <f t="shared" si="7"/>
        <v/>
      </c>
      <c r="K261" s="11"/>
      <c r="L261" s="11"/>
      <c r="M261" s="11"/>
      <c r="N261" s="12"/>
    </row>
    <row r="262" spans="1:14" x14ac:dyDescent="0.25">
      <c r="A262" s="8"/>
      <c r="B262" s="9"/>
      <c r="C262" s="9"/>
      <c r="D262" s="9"/>
      <c r="E262" s="9"/>
      <c r="F262" s="9"/>
      <c r="G262" s="9"/>
      <c r="H262" s="9"/>
      <c r="I262" s="10" t="str">
        <f t="shared" ref="I262:I325" si="8">IF(SUM(B261:F261,H262)=0,"",SUM(B261:F261,H262))</f>
        <v/>
      </c>
      <c r="J262" s="10" t="str">
        <f t="shared" ref="J262:J325" si="9">IF(I262="","",1440-I262)</f>
        <v/>
      </c>
      <c r="K262" s="11"/>
      <c r="L262" s="11"/>
      <c r="M262" s="11"/>
      <c r="N262" s="12"/>
    </row>
    <row r="263" spans="1:14" x14ac:dyDescent="0.25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25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25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25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25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25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25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25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25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25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25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25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25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25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25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25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25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25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25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25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25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25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25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25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25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25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25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25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25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25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25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25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25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25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25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25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25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25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25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25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25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25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25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25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25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25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25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25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25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25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25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25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25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25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25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25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25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25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25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25">
      <c r="A322" s="8"/>
      <c r="B322" s="9"/>
      <c r="C322" s="9"/>
      <c r="D322" s="9"/>
      <c r="E322" s="9"/>
      <c r="F322" s="9"/>
      <c r="G322" s="9"/>
      <c r="H322" s="9"/>
      <c r="I322" s="10" t="str">
        <f t="shared" si="8"/>
        <v/>
      </c>
      <c r="J322" s="10" t="str">
        <f t="shared" si="9"/>
        <v/>
      </c>
      <c r="K322" s="11"/>
      <c r="L322" s="11"/>
      <c r="M322" s="11"/>
      <c r="N322" s="12"/>
    </row>
    <row r="323" spans="1:14" x14ac:dyDescent="0.25">
      <c r="A323" s="8"/>
      <c r="B323" s="9"/>
      <c r="C323" s="9"/>
      <c r="D323" s="9"/>
      <c r="E323" s="9"/>
      <c r="F323" s="9"/>
      <c r="G323" s="9"/>
      <c r="H323" s="9"/>
      <c r="I323" s="10" t="str">
        <f t="shared" si="8"/>
        <v/>
      </c>
      <c r="J323" s="10" t="str">
        <f t="shared" si="9"/>
        <v/>
      </c>
      <c r="K323" s="11"/>
      <c r="L323" s="11"/>
      <c r="M323" s="11"/>
      <c r="N323" s="12"/>
    </row>
    <row r="324" spans="1:14" x14ac:dyDescent="0.25">
      <c r="A324" s="8"/>
      <c r="B324" s="9"/>
      <c r="C324" s="9"/>
      <c r="D324" s="9"/>
      <c r="E324" s="9"/>
      <c r="F324" s="9"/>
      <c r="G324" s="9"/>
      <c r="H324" s="9"/>
      <c r="I324" s="10" t="str">
        <f t="shared" si="8"/>
        <v/>
      </c>
      <c r="J324" s="10" t="str">
        <f t="shared" si="9"/>
        <v/>
      </c>
      <c r="K324" s="11"/>
      <c r="L324" s="11"/>
      <c r="M324" s="11"/>
      <c r="N324" s="12"/>
    </row>
    <row r="325" spans="1:14" x14ac:dyDescent="0.25">
      <c r="A325" s="8"/>
      <c r="B325" s="9"/>
      <c r="C325" s="9"/>
      <c r="D325" s="9"/>
      <c r="E325" s="9"/>
      <c r="F325" s="9"/>
      <c r="G325" s="9"/>
      <c r="H325" s="9"/>
      <c r="I325" s="10" t="str">
        <f t="shared" si="8"/>
        <v/>
      </c>
      <c r="J325" s="10" t="str">
        <f t="shared" si="9"/>
        <v/>
      </c>
      <c r="K325" s="11"/>
      <c r="L325" s="11"/>
      <c r="M325" s="11"/>
      <c r="N325" s="12"/>
    </row>
    <row r="326" spans="1:14" x14ac:dyDescent="0.25">
      <c r="A326" s="8"/>
      <c r="B326" s="9"/>
      <c r="C326" s="9"/>
      <c r="D326" s="9"/>
      <c r="E326" s="9"/>
      <c r="F326" s="9"/>
      <c r="G326" s="9"/>
      <c r="H326" s="9"/>
      <c r="I326" s="10" t="str">
        <f t="shared" ref="I326:I389" si="10">IF(SUM(B325:F325,H326)=0,"",SUM(B325:F325,H326))</f>
        <v/>
      </c>
      <c r="J326" s="10" t="str">
        <f t="shared" ref="J326:J389" si="11">IF(I326="","",1440-I326)</f>
        <v/>
      </c>
      <c r="K326" s="11"/>
      <c r="L326" s="11"/>
      <c r="M326" s="11"/>
      <c r="N326" s="12"/>
    </row>
    <row r="327" spans="1:14" x14ac:dyDescent="0.25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25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25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25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25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25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25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25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25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25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25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25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25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25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25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25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25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25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25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25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25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25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25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25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25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25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25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25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25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25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25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25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25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25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25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25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25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25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25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25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25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25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25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25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25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25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25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25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25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25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25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25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25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25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25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25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25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25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25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25">
      <c r="A386" s="8"/>
      <c r="B386" s="9"/>
      <c r="C386" s="9"/>
      <c r="D386" s="9"/>
      <c r="E386" s="9"/>
      <c r="F386" s="9"/>
      <c r="G386" s="9"/>
      <c r="H386" s="9"/>
      <c r="I386" s="10" t="str">
        <f t="shared" si="10"/>
        <v/>
      </c>
      <c r="J386" s="10" t="str">
        <f t="shared" si="11"/>
        <v/>
      </c>
      <c r="K386" s="11"/>
      <c r="L386" s="11"/>
      <c r="M386" s="11"/>
      <c r="N386" s="12"/>
    </row>
    <row r="387" spans="1:14" x14ac:dyDescent="0.25">
      <c r="A387" s="8"/>
      <c r="B387" s="9"/>
      <c r="C387" s="9"/>
      <c r="D387" s="9"/>
      <c r="E387" s="9"/>
      <c r="F387" s="9"/>
      <c r="G387" s="9"/>
      <c r="H387" s="9"/>
      <c r="I387" s="10" t="str">
        <f t="shared" si="10"/>
        <v/>
      </c>
      <c r="J387" s="10" t="str">
        <f t="shared" si="11"/>
        <v/>
      </c>
      <c r="K387" s="11"/>
      <c r="L387" s="11"/>
      <c r="M387" s="11"/>
      <c r="N387" s="12"/>
    </row>
    <row r="388" spans="1:14" x14ac:dyDescent="0.25">
      <c r="A388" s="8"/>
      <c r="B388" s="9"/>
      <c r="C388" s="9"/>
      <c r="D388" s="9"/>
      <c r="E388" s="9"/>
      <c r="F388" s="9"/>
      <c r="G388" s="9"/>
      <c r="H388" s="9"/>
      <c r="I388" s="10" t="str">
        <f t="shared" si="10"/>
        <v/>
      </c>
      <c r="J388" s="10" t="str">
        <f t="shared" si="11"/>
        <v/>
      </c>
      <c r="K388" s="11"/>
      <c r="L388" s="11"/>
      <c r="M388" s="11"/>
      <c r="N388" s="12"/>
    </row>
    <row r="389" spans="1:14" x14ac:dyDescent="0.25">
      <c r="A389" s="8"/>
      <c r="B389" s="9"/>
      <c r="C389" s="9"/>
      <c r="D389" s="9"/>
      <c r="E389" s="9"/>
      <c r="F389" s="9"/>
      <c r="G389" s="9"/>
      <c r="H389" s="9"/>
      <c r="I389" s="10" t="str">
        <f t="shared" si="10"/>
        <v/>
      </c>
      <c r="J389" s="10" t="str">
        <f t="shared" si="11"/>
        <v/>
      </c>
      <c r="K389" s="11"/>
      <c r="L389" s="11"/>
      <c r="M389" s="11"/>
      <c r="N389" s="12"/>
    </row>
    <row r="390" spans="1:14" x14ac:dyDescent="0.25">
      <c r="A390" s="8"/>
      <c r="B390" s="9"/>
      <c r="C390" s="9"/>
      <c r="D390" s="9"/>
      <c r="E390" s="9"/>
      <c r="F390" s="9"/>
      <c r="G390" s="9"/>
      <c r="H390" s="9"/>
      <c r="I390" s="10" t="str">
        <f t="shared" ref="I390:I401" si="12">IF(SUM(B389:F389,H390)=0,"",SUM(B389:F389,H390))</f>
        <v/>
      </c>
      <c r="J390" s="10" t="str">
        <f t="shared" ref="J390:J401" si="13">IF(I390="","",1440-I390)</f>
        <v/>
      </c>
      <c r="K390" s="11"/>
      <c r="L390" s="11"/>
      <c r="M390" s="11"/>
      <c r="N390" s="12"/>
    </row>
    <row r="391" spans="1:14" x14ac:dyDescent="0.25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25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25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25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25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25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25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  <row r="398" spans="1:14" x14ac:dyDescent="0.25">
      <c r="A398" s="8"/>
      <c r="B398" s="9"/>
      <c r="C398" s="9"/>
      <c r="D398" s="9"/>
      <c r="E398" s="9"/>
      <c r="F398" s="9"/>
      <c r="G398" s="9"/>
      <c r="H398" s="9"/>
      <c r="I398" s="10" t="str">
        <f t="shared" si="12"/>
        <v/>
      </c>
      <c r="J398" s="10" t="str">
        <f t="shared" si="13"/>
        <v/>
      </c>
      <c r="K398" s="11"/>
      <c r="L398" s="11"/>
      <c r="M398" s="11"/>
      <c r="N398" s="12"/>
    </row>
    <row r="399" spans="1:14" x14ac:dyDescent="0.25">
      <c r="A399" s="8"/>
      <c r="B399" s="9"/>
      <c r="C399" s="9"/>
      <c r="D399" s="9"/>
      <c r="E399" s="9"/>
      <c r="F399" s="9"/>
      <c r="G399" s="9"/>
      <c r="H399" s="9"/>
      <c r="I399" s="10" t="str">
        <f t="shared" si="12"/>
        <v/>
      </c>
      <c r="J399" s="10" t="str">
        <f t="shared" si="13"/>
        <v/>
      </c>
      <c r="K399" s="11"/>
      <c r="L399" s="11"/>
      <c r="M399" s="11"/>
      <c r="N399" s="12"/>
    </row>
    <row r="400" spans="1:14" x14ac:dyDescent="0.25">
      <c r="A400" s="8"/>
      <c r="B400" s="9"/>
      <c r="C400" s="9"/>
      <c r="D400" s="9"/>
      <c r="E400" s="9"/>
      <c r="F400" s="9"/>
      <c r="G400" s="9"/>
      <c r="H400" s="9"/>
      <c r="I400" s="10" t="str">
        <f t="shared" si="12"/>
        <v/>
      </c>
      <c r="J400" s="10" t="str">
        <f t="shared" si="13"/>
        <v/>
      </c>
      <c r="K400" s="11"/>
      <c r="L400" s="11"/>
      <c r="M400" s="11"/>
      <c r="N400" s="12"/>
    </row>
    <row r="401" spans="1:14" x14ac:dyDescent="0.25">
      <c r="A401" s="8"/>
      <c r="C401" s="9"/>
      <c r="D401" s="9"/>
      <c r="E401" s="9"/>
      <c r="F401" s="9"/>
      <c r="G401" s="9"/>
      <c r="H401" s="9"/>
      <c r="I401" s="10" t="str">
        <f t="shared" si="12"/>
        <v/>
      </c>
      <c r="J401" s="10" t="str">
        <f t="shared" si="13"/>
        <v/>
      </c>
      <c r="K401" s="11"/>
      <c r="L401" s="11"/>
      <c r="M401" s="11"/>
      <c r="N401" s="12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chhaya sachdeva</cp:lastModifiedBy>
  <cp:revision>0</cp:revision>
  <dcterms:created xsi:type="dcterms:W3CDTF">2026-07-24T11:49:30Z</dcterms:created>
  <dcterms:modified xsi:type="dcterms:W3CDTF">2026-09-22T17:38:52Z</dcterms:modified>
  <dc:language>en-US</dc:language>
</cp:coreProperties>
</file>